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X\Desktop\"/>
    </mc:Choice>
  </mc:AlternateContent>
  <xr:revisionPtr revIDLastSave="0" documentId="13_ncr:1_{102C871C-12DE-4FEF-B8FD-BB97F729A4DB}" xr6:coauthVersionLast="47" xr6:coauthVersionMax="47" xr10:uidLastSave="{00000000-0000-0000-0000-000000000000}"/>
  <bookViews>
    <workbookView xWindow="-120" yWindow="-120" windowWidth="38640" windowHeight="21120" xr2:uid="{8A3AB272-027E-486F-8051-0DB50DB70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1" l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J38" i="1" s="1"/>
  <c r="I37" i="1"/>
  <c r="H37" i="1"/>
  <c r="I36" i="1"/>
  <c r="H36" i="1"/>
  <c r="J36" i="1" s="1"/>
  <c r="I35" i="1"/>
  <c r="H35" i="1"/>
  <c r="J35" i="1" s="1"/>
  <c r="I34" i="1"/>
  <c r="H34" i="1"/>
  <c r="I33" i="1"/>
  <c r="H33" i="1"/>
  <c r="I32" i="1"/>
  <c r="H32" i="1"/>
  <c r="I31" i="1"/>
  <c r="H31" i="1"/>
  <c r="J31" i="1" s="1"/>
  <c r="I30" i="1"/>
  <c r="H30" i="1"/>
  <c r="I29" i="1"/>
  <c r="H29" i="1"/>
  <c r="I28" i="1"/>
  <c r="H28" i="1"/>
  <c r="I27" i="1"/>
  <c r="H27" i="1"/>
  <c r="I26" i="1"/>
  <c r="H26" i="1"/>
  <c r="J26" i="1" s="1"/>
  <c r="I25" i="1"/>
  <c r="H25" i="1"/>
  <c r="I24" i="1"/>
  <c r="H24" i="1"/>
  <c r="I23" i="1"/>
  <c r="H23" i="1"/>
  <c r="I22" i="1"/>
  <c r="H22" i="1"/>
  <c r="I21" i="1"/>
  <c r="H21" i="1"/>
  <c r="J21" i="1" s="1"/>
  <c r="I20" i="1"/>
  <c r="H20" i="1"/>
  <c r="I19" i="1"/>
  <c r="H19" i="1"/>
  <c r="I18" i="1"/>
  <c r="H18" i="1"/>
  <c r="J18" i="1" s="1"/>
  <c r="I17" i="1"/>
  <c r="H17" i="1"/>
  <c r="J17" i="1" s="1"/>
  <c r="I16" i="1"/>
  <c r="H16" i="1"/>
  <c r="J16" i="1" s="1"/>
  <c r="I15" i="1"/>
  <c r="H15" i="1"/>
  <c r="J15" i="1" s="1"/>
  <c r="I14" i="1"/>
  <c r="H14" i="1"/>
  <c r="I13" i="1"/>
  <c r="H13" i="1"/>
  <c r="I12" i="1"/>
  <c r="H12" i="1"/>
  <c r="I11" i="1"/>
  <c r="H11" i="1"/>
  <c r="J11" i="1" s="1"/>
  <c r="I10" i="1"/>
  <c r="H10" i="1"/>
  <c r="I9" i="1"/>
  <c r="H9" i="1"/>
  <c r="I8" i="1"/>
  <c r="H8" i="1"/>
  <c r="I7" i="1"/>
  <c r="H7" i="1"/>
  <c r="J7" i="1" s="1"/>
  <c r="I6" i="1"/>
  <c r="H6" i="1"/>
  <c r="I5" i="1"/>
  <c r="H5" i="1"/>
  <c r="J5" i="1" s="1"/>
  <c r="I4" i="1"/>
  <c r="H4" i="1"/>
  <c r="J12" i="1" l="1"/>
  <c r="J10" i="1"/>
  <c r="J20" i="1"/>
  <c r="J30" i="1"/>
  <c r="J40" i="1"/>
  <c r="J25" i="1"/>
  <c r="J23" i="1"/>
  <c r="J43" i="1"/>
  <c r="J46" i="1"/>
  <c r="J27" i="1"/>
  <c r="J49" i="1"/>
  <c r="J32" i="1"/>
  <c r="J4" i="1"/>
  <c r="J24" i="1"/>
  <c r="J44" i="1"/>
  <c r="J51" i="1"/>
  <c r="J19" i="1"/>
  <c r="J50" i="1"/>
  <c r="J52" i="1"/>
  <c r="J13" i="1"/>
  <c r="J53" i="1"/>
  <c r="J6" i="1"/>
  <c r="J45" i="1"/>
  <c r="J33" i="1"/>
  <c r="J14" i="1"/>
  <c r="J8" i="1"/>
  <c r="J37" i="1"/>
  <c r="J47" i="1"/>
  <c r="J39" i="1"/>
  <c r="J22" i="1"/>
  <c r="J34" i="1"/>
  <c r="J28" i="1"/>
  <c r="J41" i="1"/>
  <c r="J42" i="1"/>
  <c r="J9" i="1"/>
  <c r="J48" i="1"/>
  <c r="J29" i="1"/>
  <c r="M4" i="1"/>
  <c r="K5" i="1" l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M5" i="1" l="1"/>
  <c r="M6" i="1"/>
  <c r="M7" i="1" l="1"/>
  <c r="M8" i="1" l="1"/>
  <c r="M9" i="1" l="1"/>
  <c r="M10" i="1" l="1"/>
  <c r="M11" i="1" l="1"/>
  <c r="M12" i="1" l="1"/>
  <c r="M13" i="1" l="1"/>
  <c r="M14" i="1" l="1"/>
  <c r="M15" i="1" l="1"/>
  <c r="M16" i="1" l="1"/>
  <c r="M17" i="1" l="1"/>
  <c r="M18" i="1" l="1"/>
  <c r="M19" i="1" l="1"/>
  <c r="M20" i="1" l="1"/>
  <c r="M21" i="1" l="1"/>
  <c r="M22" i="1" l="1"/>
  <c r="M23" i="1" l="1"/>
  <c r="M24" i="1" l="1"/>
  <c r="M25" i="1" l="1"/>
  <c r="M26" i="1" l="1"/>
  <c r="M27" i="1" l="1"/>
  <c r="M28" i="1" l="1"/>
  <c r="M29" i="1" l="1"/>
  <c r="M30" i="1" l="1"/>
  <c r="M31" i="1" l="1"/>
  <c r="M32" i="1" l="1"/>
  <c r="M33" i="1" l="1"/>
  <c r="M34" i="1" l="1"/>
  <c r="M35" i="1" l="1"/>
  <c r="M36" i="1" l="1"/>
  <c r="M37" i="1" l="1"/>
  <c r="M38" i="1" l="1"/>
  <c r="M39" i="1" l="1"/>
  <c r="M40" i="1" l="1"/>
  <c r="M41" i="1" l="1"/>
  <c r="M42" i="1" l="1"/>
  <c r="M43" i="1" l="1"/>
  <c r="M44" i="1" l="1"/>
  <c r="M45" i="1" l="1"/>
  <c r="M46" i="1" l="1"/>
  <c r="M47" i="1" l="1"/>
  <c r="M48" i="1" l="1"/>
  <c r="M49" i="1" l="1"/>
  <c r="M50" i="1" l="1"/>
  <c r="M51" i="1" l="1"/>
  <c r="M53" i="1" l="1"/>
  <c r="M52" i="1"/>
</calcChain>
</file>

<file path=xl/sharedStrings.xml><?xml version="1.0" encoding="utf-8"?>
<sst xmlns="http://schemas.openxmlformats.org/spreadsheetml/2006/main" count="11" uniqueCount="10">
  <si>
    <t>每次用时</t>
    <phoneticPr fontId="1" type="noConversion"/>
  </si>
  <si>
    <t>累计用时</t>
    <phoneticPr fontId="1" type="noConversion"/>
  </si>
  <si>
    <t>次数</t>
    <phoneticPr fontId="1" type="noConversion"/>
  </si>
  <si>
    <t>平均数</t>
    <phoneticPr fontId="1" type="noConversion"/>
  </si>
  <si>
    <t>方差与平均数比</t>
    <phoneticPr fontId="1" type="noConversion"/>
  </si>
  <si>
    <t>X</t>
    <phoneticPr fontId="1" type="noConversion"/>
  </si>
  <si>
    <t>N</t>
    <phoneticPr fontId="1" type="noConversion"/>
  </si>
  <si>
    <t>SS</t>
    <phoneticPr fontId="1" type="noConversion"/>
  </si>
  <si>
    <t>方差
离散度（算法2）</t>
    <phoneticPr fontId="1" type="noConversion"/>
  </si>
  <si>
    <t>方差
离散度（算法1）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</si>
</sst>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0" borderId="0" xfId="0" applyNumberFormat="1">
      <alignment vertical="center"/>
    </xf>
    <xf numFmtId="176" fontId="0" fillId="2" borderId="0" xfId="0" applyNumberForma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9414-EE10-4486-9C1F-B88CA5543265}">
  <dimension ref="G1:M53"/>
  <sheetViews>
    <sheetView tabSelected="1" workbookViewId="0">
      <selection activeCell="K3" sqref="K3"/>
    </sheetView>
  </sheetViews>
  <sheetFormatPr defaultRowHeight="14.25" x14ac:dyDescent="0.2"/>
  <cols>
    <col min="9" max="9" width="9" style="1"/>
    <col min="10" max="10" width="9" style="2"/>
    <col min="11" max="11" width="14.875" style="2" customWidth="1"/>
    <col min="12" max="12" width="15.25" style="2" customWidth="1"/>
    <col min="13" max="13" width="15.125" style="8" bestFit="1" customWidth="1"/>
  </cols>
  <sheetData>
    <row r="1" spans="7:13" x14ac:dyDescent="0.2">
      <c r="G1" s="1" t="s">
        <v>5</v>
      </c>
      <c r="I1" s="1" t="s">
        <v>6</v>
      </c>
      <c r="K1" s="2" t="s">
        <v>7</v>
      </c>
      <c r="L1" s="2" t="s">
        <v>7</v>
      </c>
    </row>
    <row r="2" spans="7:13" ht="42.75" x14ac:dyDescent="0.2">
      <c r="G2" s="4" t="s">
        <v>0</v>
      </c>
      <c r="H2" s="5" t="s">
        <v>1</v>
      </c>
      <c r="I2" s="5" t="s">
        <v>2</v>
      </c>
      <c r="J2" s="6" t="s">
        <v>3</v>
      </c>
      <c r="K2" s="9" t="s">
        <v>9</v>
      </c>
      <c r="L2" s="9" t="s">
        <v>8</v>
      </c>
      <c r="M2" s="7" t="s">
        <v>4</v>
      </c>
    </row>
    <row r="3" spans="7:13" x14ac:dyDescent="0.2">
      <c r="H3" s="1"/>
      <c r="J3" s="3">
        <v>0</v>
      </c>
      <c r="K3" s="3">
        <v>0</v>
      </c>
      <c r="L3" s="3">
        <v>0</v>
      </c>
    </row>
    <row r="4" spans="7:13" x14ac:dyDescent="0.2">
      <c r="G4">
        <v>79</v>
      </c>
      <c r="H4">
        <f>SUM($G$4:G4)</f>
        <v>79</v>
      </c>
      <c r="I4" s="1">
        <f>COUNT($G$4:G4)</f>
        <v>1</v>
      </c>
      <c r="J4" s="3">
        <f>H4 / I4</f>
        <v>79</v>
      </c>
      <c r="K4" s="3">
        <v>0</v>
      </c>
      <c r="L4" s="3">
        <f>(L3 + (G4- J3) * (G4 - J4))/(I4)</f>
        <v>0</v>
      </c>
      <c r="M4" s="8">
        <f t="shared" ref="M4:M35" si="0">K4/J4</f>
        <v>0</v>
      </c>
    </row>
    <row r="5" spans="7:13" x14ac:dyDescent="0.2">
      <c r="G5">
        <v>67</v>
      </c>
      <c r="H5">
        <f>SUM($G$4:G5)</f>
        <v>146</v>
      </c>
      <c r="I5" s="1">
        <f>COUNT($G$4:G5)</f>
        <v>2</v>
      </c>
      <c r="J5" s="3">
        <f t="shared" ref="J5:J53" si="1">H5 / I5</f>
        <v>73</v>
      </c>
      <c r="K5" s="3">
        <f t="shared" ref="K5:K36" si="2">(K4 + (G5- J4) * (G5 - J5))/(I5 - 1)</f>
        <v>72</v>
      </c>
      <c r="L5" s="3">
        <f>(L4 + (G5- J4) * (G5 - J5))/(I5)</f>
        <v>36</v>
      </c>
      <c r="M5" s="8">
        <f t="shared" si="0"/>
        <v>0.98630136986301364</v>
      </c>
    </row>
    <row r="6" spans="7:13" x14ac:dyDescent="0.2">
      <c r="G6">
        <v>52</v>
      </c>
      <c r="H6">
        <f>SUM($G$4:G6)</f>
        <v>198</v>
      </c>
      <c r="I6" s="1">
        <f>COUNT($G$4:G6)</f>
        <v>3</v>
      </c>
      <c r="J6" s="3">
        <f t="shared" si="1"/>
        <v>66</v>
      </c>
      <c r="K6" s="3">
        <f t="shared" si="2"/>
        <v>183</v>
      </c>
      <c r="L6" s="3">
        <f t="shared" ref="L6:L53" si="3">(L5 + (G6- J5) * (G6 - J6))/(I6)</f>
        <v>110</v>
      </c>
      <c r="M6" s="8">
        <f t="shared" si="0"/>
        <v>2.7727272727272729</v>
      </c>
    </row>
    <row r="7" spans="7:13" x14ac:dyDescent="0.2">
      <c r="G7">
        <v>53</v>
      </c>
      <c r="H7">
        <f>SUM($G$4:G7)</f>
        <v>251</v>
      </c>
      <c r="I7" s="1">
        <f>COUNT($G$4:G7)</f>
        <v>4</v>
      </c>
      <c r="J7" s="3">
        <f t="shared" si="1"/>
        <v>62.75</v>
      </c>
      <c r="K7" s="3">
        <f t="shared" si="2"/>
        <v>103.25</v>
      </c>
      <c r="L7" s="3">
        <f t="shared" si="3"/>
        <v>59.1875</v>
      </c>
      <c r="M7" s="8">
        <f t="shared" si="0"/>
        <v>1.6454183266932272</v>
      </c>
    </row>
    <row r="8" spans="7:13" x14ac:dyDescent="0.2">
      <c r="G8">
        <v>54</v>
      </c>
      <c r="H8">
        <f>SUM($G$4:G8)</f>
        <v>305</v>
      </c>
      <c r="I8" s="1">
        <f>COUNT($G$4:G8)</f>
        <v>5</v>
      </c>
      <c r="J8" s="3">
        <f t="shared" si="1"/>
        <v>61</v>
      </c>
      <c r="K8" s="3">
        <f t="shared" si="2"/>
        <v>41.125</v>
      </c>
      <c r="L8" s="3">
        <f t="shared" si="3"/>
        <v>24.087499999999999</v>
      </c>
      <c r="M8" s="8">
        <f t="shared" si="0"/>
        <v>0.67418032786885251</v>
      </c>
    </row>
    <row r="9" spans="7:13" x14ac:dyDescent="0.2">
      <c r="G9">
        <v>55</v>
      </c>
      <c r="H9">
        <f>SUM($G$4:G9)</f>
        <v>360</v>
      </c>
      <c r="I9" s="1">
        <f>COUNT($G$4:G9)</f>
        <v>6</v>
      </c>
      <c r="J9" s="3">
        <f t="shared" si="1"/>
        <v>60</v>
      </c>
      <c r="K9" s="3">
        <f t="shared" si="2"/>
        <v>14.225</v>
      </c>
      <c r="L9" s="3">
        <f t="shared" si="3"/>
        <v>9.0145833333333325</v>
      </c>
      <c r="M9" s="8">
        <f t="shared" si="0"/>
        <v>0.23708333333333334</v>
      </c>
    </row>
    <row r="10" spans="7:13" x14ac:dyDescent="0.2">
      <c r="G10">
        <v>56</v>
      </c>
      <c r="H10">
        <f>SUM($G$4:G10)</f>
        <v>416</v>
      </c>
      <c r="I10" s="1">
        <f>COUNT($G$4:G10)</f>
        <v>7</v>
      </c>
      <c r="J10" s="3">
        <f t="shared" si="1"/>
        <v>59.428571428571431</v>
      </c>
      <c r="K10" s="3">
        <f t="shared" si="2"/>
        <v>4.6565476190476209</v>
      </c>
      <c r="L10" s="3">
        <f t="shared" si="3"/>
        <v>3.2469812925170083</v>
      </c>
      <c r="M10" s="8">
        <f t="shared" si="0"/>
        <v>7.8355368589743624E-2</v>
      </c>
    </row>
    <row r="11" spans="7:13" x14ac:dyDescent="0.2">
      <c r="G11">
        <v>57</v>
      </c>
      <c r="H11">
        <f>SUM($G$4:G11)</f>
        <v>473</v>
      </c>
      <c r="I11" s="1">
        <f>COUNT($G$4:G11)</f>
        <v>8</v>
      </c>
      <c r="J11" s="3">
        <f t="shared" si="1"/>
        <v>59.125</v>
      </c>
      <c r="K11" s="3">
        <f t="shared" si="2"/>
        <v>1.4024659863945586</v>
      </c>
      <c r="L11" s="3">
        <f t="shared" si="3"/>
        <v>1.0509619472789122</v>
      </c>
      <c r="M11" s="8">
        <f t="shared" si="0"/>
        <v>2.3720354949590843E-2</v>
      </c>
    </row>
    <row r="12" spans="7:13" x14ac:dyDescent="0.2">
      <c r="G12">
        <v>58</v>
      </c>
      <c r="H12">
        <f>SUM($G$4:G12)</f>
        <v>531</v>
      </c>
      <c r="I12" s="1">
        <f>COUNT($G$4:G12)</f>
        <v>9</v>
      </c>
      <c r="J12" s="3">
        <f t="shared" si="1"/>
        <v>59</v>
      </c>
      <c r="K12" s="3">
        <f t="shared" si="2"/>
        <v>0.31593324829931979</v>
      </c>
      <c r="L12" s="3">
        <f t="shared" si="3"/>
        <v>0.24177354969765691</v>
      </c>
      <c r="M12" s="8">
        <f t="shared" si="0"/>
        <v>5.3548008186325392E-3</v>
      </c>
    </row>
    <row r="13" spans="7:13" x14ac:dyDescent="0.2">
      <c r="G13">
        <v>59</v>
      </c>
      <c r="H13">
        <f>SUM($G$4:G13)</f>
        <v>590</v>
      </c>
      <c r="I13" s="1">
        <f>COUNT($G$4:G13)</f>
        <v>10</v>
      </c>
      <c r="J13" s="3">
        <f t="shared" si="1"/>
        <v>59</v>
      </c>
      <c r="K13" s="3">
        <f t="shared" si="2"/>
        <v>3.5103694255479975E-2</v>
      </c>
      <c r="L13" s="3">
        <f t="shared" si="3"/>
        <v>2.4177354969765689E-2</v>
      </c>
      <c r="M13" s="8">
        <f t="shared" si="0"/>
        <v>5.949778687369487E-4</v>
      </c>
    </row>
    <row r="14" spans="7:13" x14ac:dyDescent="0.2">
      <c r="G14">
        <v>60</v>
      </c>
      <c r="H14">
        <f>SUM($G$4:G14)</f>
        <v>650</v>
      </c>
      <c r="I14" s="1">
        <f>COUNT($G$4:G14)</f>
        <v>11</v>
      </c>
      <c r="J14" s="3">
        <f t="shared" si="1"/>
        <v>59.090909090909093</v>
      </c>
      <c r="K14" s="3">
        <f t="shared" si="2"/>
        <v>9.4419460334638647E-2</v>
      </c>
      <c r="L14" s="3">
        <f t="shared" si="3"/>
        <v>8.4842569460061107E-2</v>
      </c>
      <c r="M14" s="8">
        <f t="shared" si="0"/>
        <v>1.5978677902785002E-3</v>
      </c>
    </row>
    <row r="15" spans="7:13" x14ac:dyDescent="0.2">
      <c r="G15">
        <v>61</v>
      </c>
      <c r="H15">
        <f>SUM($G$4:G15)</f>
        <v>711</v>
      </c>
      <c r="I15" s="1">
        <f>COUNT($G$4:G15)</f>
        <v>12</v>
      </c>
      <c r="J15" s="3">
        <f t="shared" si="1"/>
        <v>59.25</v>
      </c>
      <c r="K15" s="3">
        <f t="shared" si="2"/>
        <v>0.31230259556761136</v>
      </c>
      <c r="L15" s="3">
        <f t="shared" si="3"/>
        <v>0.2854793050307623</v>
      </c>
      <c r="M15" s="8">
        <f t="shared" si="0"/>
        <v>5.27092988299766E-3</v>
      </c>
    </row>
    <row r="16" spans="7:13" x14ac:dyDescent="0.2">
      <c r="G16">
        <v>62</v>
      </c>
      <c r="H16">
        <f>SUM($G$4:G16)</f>
        <v>773</v>
      </c>
      <c r="I16" s="1">
        <f>COUNT($G$4:G16)</f>
        <v>13</v>
      </c>
      <c r="J16" s="3">
        <f t="shared" si="1"/>
        <v>59.46153846153846</v>
      </c>
      <c r="K16" s="3">
        <f t="shared" si="2"/>
        <v>0.60775598552807053</v>
      </c>
      <c r="L16" s="3">
        <f t="shared" si="3"/>
        <v>0.55894219506153831</v>
      </c>
      <c r="M16" s="8">
        <f t="shared" si="0"/>
        <v>1.0220993288311666E-2</v>
      </c>
    </row>
    <row r="17" spans="7:13" x14ac:dyDescent="0.2">
      <c r="G17">
        <v>63</v>
      </c>
      <c r="H17">
        <f>SUM($G$4:G17)</f>
        <v>836</v>
      </c>
      <c r="I17" s="1">
        <f>COUNT($G$4:G17)</f>
        <v>14</v>
      </c>
      <c r="J17" s="3">
        <f t="shared" si="1"/>
        <v>59.714285714285715</v>
      </c>
      <c r="K17" s="3">
        <f t="shared" si="2"/>
        <v>0.9410868932232076</v>
      </c>
      <c r="L17" s="3">
        <f t="shared" si="3"/>
        <v>0.87037970153108335</v>
      </c>
      <c r="M17" s="8">
        <f t="shared" si="0"/>
        <v>1.5759828355412567E-2</v>
      </c>
    </row>
    <row r="18" spans="7:13" x14ac:dyDescent="0.2">
      <c r="G18">
        <v>64</v>
      </c>
      <c r="H18">
        <f>SUM($G$4:G18)</f>
        <v>900</v>
      </c>
      <c r="I18" s="1">
        <f>COUNT($G$4:G18)</f>
        <v>15</v>
      </c>
      <c r="J18" s="3">
        <f t="shared" si="1"/>
        <v>60</v>
      </c>
      <c r="K18" s="3">
        <f t="shared" si="2"/>
        <v>1.2917102882914533</v>
      </c>
      <c r="L18" s="3">
        <f t="shared" si="3"/>
        <v>1.200882456292548</v>
      </c>
      <c r="M18" s="8">
        <f t="shared" si="0"/>
        <v>2.1528504804857556E-2</v>
      </c>
    </row>
    <row r="19" spans="7:13" x14ac:dyDescent="0.2">
      <c r="G19">
        <v>65</v>
      </c>
      <c r="H19">
        <f>SUM($G$4:G19)</f>
        <v>965</v>
      </c>
      <c r="I19" s="1">
        <f>COUNT($G$4:G19)</f>
        <v>16</v>
      </c>
      <c r="J19" s="3">
        <f t="shared" si="1"/>
        <v>60.3125</v>
      </c>
      <c r="K19" s="3">
        <f t="shared" si="2"/>
        <v>1.6486140192194303</v>
      </c>
      <c r="L19" s="3">
        <f t="shared" si="3"/>
        <v>1.5398989035182842</v>
      </c>
      <c r="M19" s="8">
        <f t="shared" si="0"/>
        <v>2.7334532961151174E-2</v>
      </c>
    </row>
    <row r="20" spans="7:13" x14ac:dyDescent="0.2">
      <c r="G20">
        <v>66</v>
      </c>
      <c r="H20">
        <f>SUM($G$4:G20)</f>
        <v>1031</v>
      </c>
      <c r="I20" s="1">
        <f>COUNT($G$4:G20)</f>
        <v>17</v>
      </c>
      <c r="J20" s="3">
        <f t="shared" si="1"/>
        <v>60.647058823529413</v>
      </c>
      <c r="K20" s="3">
        <f t="shared" si="2"/>
        <v>2.0058416850247434</v>
      </c>
      <c r="L20" s="3">
        <f t="shared" si="3"/>
        <v>1.8814559908643971</v>
      </c>
      <c r="M20" s="8">
        <f t="shared" si="0"/>
        <v>3.3074014205063666E-2</v>
      </c>
    </row>
    <row r="21" spans="7:13" x14ac:dyDescent="0.2">
      <c r="G21">
        <v>67</v>
      </c>
      <c r="H21">
        <f>SUM($G$4:G21)</f>
        <v>1098</v>
      </c>
      <c r="I21" s="1">
        <f>COUNT($G$4:G21)</f>
        <v>18</v>
      </c>
      <c r="J21" s="3">
        <f t="shared" si="1"/>
        <v>61</v>
      </c>
      <c r="K21" s="3">
        <f t="shared" si="2"/>
        <v>2.3602052202263684</v>
      </c>
      <c r="L21" s="3">
        <f t="shared" si="3"/>
        <v>2.2221723916493286</v>
      </c>
      <c r="M21" s="8">
        <f t="shared" si="0"/>
        <v>3.8691888856169976E-2</v>
      </c>
    </row>
    <row r="22" spans="7:13" x14ac:dyDescent="0.2">
      <c r="G22">
        <v>68</v>
      </c>
      <c r="H22">
        <f>SUM($G$4:G22)</f>
        <v>1166</v>
      </c>
      <c r="I22" s="1">
        <f>COUNT($G$4:G22)</f>
        <v>19</v>
      </c>
      <c r="J22" s="3">
        <f t="shared" si="1"/>
        <v>61.368421052631582</v>
      </c>
      <c r="K22" s="3">
        <f t="shared" si="2"/>
        <v>2.7100698806558494</v>
      </c>
      <c r="L22" s="3">
        <f t="shared" si="3"/>
        <v>2.5601697380646451</v>
      </c>
      <c r="M22" s="8">
        <f t="shared" si="0"/>
        <v>4.4160658432642483E-2</v>
      </c>
    </row>
    <row r="23" spans="7:13" x14ac:dyDescent="0.2">
      <c r="G23">
        <v>69</v>
      </c>
      <c r="H23">
        <f>SUM($G$4:G23)</f>
        <v>1235</v>
      </c>
      <c r="I23" s="1">
        <f>COUNT($G$4:G23)</f>
        <v>20</v>
      </c>
      <c r="J23" s="3">
        <f t="shared" si="1"/>
        <v>61.75</v>
      </c>
      <c r="K23" s="3">
        <f t="shared" si="2"/>
        <v>3.054685118372467</v>
      </c>
      <c r="L23" s="3">
        <f t="shared" si="3"/>
        <v>2.8944558553242836</v>
      </c>
      <c r="M23" s="8">
        <f t="shared" si="0"/>
        <v>4.9468584912914448E-2</v>
      </c>
    </row>
    <row r="24" spans="7:13" x14ac:dyDescent="0.2">
      <c r="G24">
        <v>70</v>
      </c>
      <c r="H24">
        <f>SUM($G$4:G24)</f>
        <v>1305</v>
      </c>
      <c r="I24" s="1">
        <f>COUNT($G$4:G24)</f>
        <v>21</v>
      </c>
      <c r="J24" s="3">
        <f t="shared" si="1"/>
        <v>62.142857142857146</v>
      </c>
      <c r="K24" s="3">
        <f t="shared" si="2"/>
        <v>3.3938056844900499</v>
      </c>
      <c r="L24" s="3">
        <f t="shared" si="3"/>
        <v>3.2245659250834677</v>
      </c>
      <c r="M24" s="8">
        <f t="shared" si="0"/>
        <v>5.4612965037770918E-2</v>
      </c>
    </row>
    <row r="25" spans="7:13" x14ac:dyDescent="0.2">
      <c r="G25">
        <v>71</v>
      </c>
      <c r="H25">
        <f>SUM($G$4:G25)</f>
        <v>1376</v>
      </c>
      <c r="I25" s="1">
        <f>COUNT($G$4:G25)</f>
        <v>22</v>
      </c>
      <c r="J25" s="3">
        <f t="shared" si="1"/>
        <v>62.545454545454547</v>
      </c>
      <c r="K25" s="3">
        <f t="shared" si="2"/>
        <v>3.7274725032193756</v>
      </c>
      <c r="L25" s="3">
        <f t="shared" si="3"/>
        <v>3.5503492185545595</v>
      </c>
      <c r="M25" s="8">
        <f t="shared" si="0"/>
        <v>5.9596217347984204E-2</v>
      </c>
    </row>
    <row r="26" spans="7:13" x14ac:dyDescent="0.2">
      <c r="G26">
        <v>72</v>
      </c>
      <c r="H26">
        <f>SUM($G$4:G26)</f>
        <v>1448</v>
      </c>
      <c r="I26" s="1">
        <f>COUNT($G$4:G26)</f>
        <v>23</v>
      </c>
      <c r="J26" s="3">
        <f t="shared" si="1"/>
        <v>62.956521739130437</v>
      </c>
      <c r="K26" s="3">
        <f t="shared" si="2"/>
        <v>4.0558840358092869</v>
      </c>
      <c r="L26" s="3">
        <f t="shared" si="3"/>
        <v>3.8718402392669349</v>
      </c>
      <c r="M26" s="8">
        <f t="shared" si="0"/>
        <v>6.4423572391998335E-2</v>
      </c>
    </row>
    <row r="27" spans="7:13" x14ac:dyDescent="0.2">
      <c r="G27">
        <v>73</v>
      </c>
      <c r="H27">
        <f>SUM($G$4:G27)</f>
        <v>1521</v>
      </c>
      <c r="I27" s="1">
        <f>COUNT($G$4:G27)</f>
        <v>24</v>
      </c>
      <c r="J27" s="3">
        <f t="shared" si="1"/>
        <v>63.375</v>
      </c>
      <c r="K27" s="3">
        <f t="shared" si="2"/>
        <v>4.379320099855601</v>
      </c>
      <c r="L27" s="3">
        <f t="shared" si="3"/>
        <v>4.1891799375056857</v>
      </c>
      <c r="M27" s="8">
        <f t="shared" si="0"/>
        <v>6.9101697828096262E-2</v>
      </c>
    </row>
    <row r="28" spans="7:13" x14ac:dyDescent="0.2">
      <c r="G28">
        <v>74</v>
      </c>
      <c r="H28">
        <f>SUM($G$4:G28)</f>
        <v>1595</v>
      </c>
      <c r="I28" s="1">
        <f>COUNT($G$4:G28)</f>
        <v>25</v>
      </c>
      <c r="J28" s="3">
        <f t="shared" si="1"/>
        <v>63.8</v>
      </c>
      <c r="K28" s="3">
        <f t="shared" si="2"/>
        <v>4.6980966708273177</v>
      </c>
      <c r="L28" s="3">
        <f t="shared" si="3"/>
        <v>4.5025671975002286</v>
      </c>
      <c r="M28" s="8">
        <f t="shared" si="0"/>
        <v>7.3637878853092753E-2</v>
      </c>
    </row>
    <row r="29" spans="7:13" x14ac:dyDescent="0.2">
      <c r="G29">
        <v>75</v>
      </c>
      <c r="H29">
        <f>SUM($G$4:G29)</f>
        <v>1670</v>
      </c>
      <c r="I29" s="1">
        <f>COUNT($G$4:G29)</f>
        <v>26</v>
      </c>
      <c r="J29" s="3">
        <f t="shared" si="1"/>
        <v>64.230769230769226</v>
      </c>
      <c r="K29" s="3">
        <f t="shared" si="2"/>
        <v>5.0125392514484801</v>
      </c>
      <c r="L29" s="3">
        <f t="shared" si="3"/>
        <v>4.8122289158801896</v>
      </c>
      <c r="M29" s="8">
        <f t="shared" si="0"/>
        <v>7.803953325608412E-2</v>
      </c>
    </row>
    <row r="30" spans="7:13" x14ac:dyDescent="0.2">
      <c r="G30">
        <v>76</v>
      </c>
      <c r="H30">
        <f>SUM($G$4:G30)</f>
        <v>1746</v>
      </c>
      <c r="I30" s="1">
        <f>COUNT($G$4:G30)</f>
        <v>27</v>
      </c>
      <c r="J30" s="3">
        <f t="shared" si="1"/>
        <v>64.666666666666671</v>
      </c>
      <c r="K30" s="3">
        <f t="shared" si="2"/>
        <v>5.3229674860024563</v>
      </c>
      <c r="L30" s="3">
        <f t="shared" si="3"/>
        <v>5.1184016407590951</v>
      </c>
      <c r="M30" s="8">
        <f t="shared" si="0"/>
        <v>8.2313930195914264E-2</v>
      </c>
    </row>
    <row r="31" spans="7:13" x14ac:dyDescent="0.2">
      <c r="G31">
        <v>77</v>
      </c>
      <c r="H31">
        <f>SUM($G$4:G31)</f>
        <v>1823</v>
      </c>
      <c r="I31" s="1">
        <f>COUNT($G$4:G31)</f>
        <v>28</v>
      </c>
      <c r="J31" s="3">
        <f t="shared" si="1"/>
        <v>65.107142857142861</v>
      </c>
      <c r="K31" s="3">
        <f t="shared" si="2"/>
        <v>5.6296866264656957</v>
      </c>
      <c r="L31" s="3">
        <f t="shared" si="3"/>
        <v>5.4213204667618005</v>
      </c>
      <c r="M31" s="8">
        <f t="shared" si="0"/>
        <v>8.6468033758112711E-2</v>
      </c>
    </row>
    <row r="32" spans="7:13" x14ac:dyDescent="0.2">
      <c r="G32">
        <v>78</v>
      </c>
      <c r="H32">
        <f>SUM($G$4:G32)</f>
        <v>1901</v>
      </c>
      <c r="I32" s="1">
        <f>COUNT($G$4:G32)</f>
        <v>29</v>
      </c>
      <c r="J32" s="3">
        <f t="shared" si="1"/>
        <v>65.551724137931032</v>
      </c>
      <c r="K32" s="3">
        <f t="shared" si="2"/>
        <v>5.9329831782499181</v>
      </c>
      <c r="L32" s="3">
        <f t="shared" si="3"/>
        <v>5.721212511423925</v>
      </c>
      <c r="M32" s="8">
        <f t="shared" si="0"/>
        <v>9.0508423024328058E-2</v>
      </c>
    </row>
    <row r="33" spans="7:13" x14ac:dyDescent="0.2">
      <c r="G33">
        <v>79</v>
      </c>
      <c r="H33">
        <f>SUM($G$4:G33)</f>
        <v>1980</v>
      </c>
      <c r="I33" s="1">
        <f>COUNT($G$4:G33)</f>
        <v>30</v>
      </c>
      <c r="J33" s="3">
        <f t="shared" si="1"/>
        <v>66</v>
      </c>
      <c r="K33" s="3">
        <f t="shared" si="2"/>
        <v>6.2331230822464301</v>
      </c>
      <c r="L33" s="3">
        <f t="shared" si="3"/>
        <v>6.018293290610683</v>
      </c>
      <c r="M33" s="8">
        <f t="shared" si="0"/>
        <v>9.4441258821915605E-2</v>
      </c>
    </row>
    <row r="34" spans="7:13" x14ac:dyDescent="0.2">
      <c r="G34">
        <v>80</v>
      </c>
      <c r="H34">
        <f>SUM($G$4:G34)</f>
        <v>2060</v>
      </c>
      <c r="I34" s="1">
        <f>COUNT($G$4:G34)</f>
        <v>31</v>
      </c>
      <c r="J34" s="3">
        <f t="shared" si="1"/>
        <v>66.451612903225808</v>
      </c>
      <c r="K34" s="3">
        <f t="shared" si="2"/>
        <v>6.5303514145695045</v>
      </c>
      <c r="L34" s="3">
        <f t="shared" si="3"/>
        <v>6.3127649240467534</v>
      </c>
      <c r="M34" s="8">
        <f t="shared" si="0"/>
        <v>9.8272278568764387E-2</v>
      </c>
    </row>
    <row r="35" spans="7:13" x14ac:dyDescent="0.2">
      <c r="G35">
        <v>81</v>
      </c>
      <c r="H35">
        <f>SUM($G$4:G35)</f>
        <v>2141</v>
      </c>
      <c r="I35" s="1">
        <f>COUNT($G$4:G35)</f>
        <v>32</v>
      </c>
      <c r="J35" s="3">
        <f t="shared" si="1"/>
        <v>66.90625</v>
      </c>
      <c r="K35" s="3">
        <f t="shared" si="2"/>
        <v>6.8248929696687348</v>
      </c>
      <c r="L35" s="3">
        <f t="shared" si="3"/>
        <v>6.6048154865377509</v>
      </c>
      <c r="M35" s="8">
        <f t="shared" si="0"/>
        <v>0.10200680758028936</v>
      </c>
    </row>
    <row r="36" spans="7:13" x14ac:dyDescent="0.2">
      <c r="G36">
        <v>82</v>
      </c>
      <c r="H36">
        <f>SUM($G$4:G36)</f>
        <v>2223</v>
      </c>
      <c r="I36" s="1">
        <f>COUNT($G$4:G36)</f>
        <v>33</v>
      </c>
      <c r="J36" s="3">
        <f t="shared" si="1"/>
        <v>67.36363636363636</v>
      </c>
      <c r="K36" s="3">
        <f t="shared" si="2"/>
        <v>7.1169533314385127</v>
      </c>
      <c r="L36" s="3">
        <f t="shared" si="3"/>
        <v>6.894619064330346</v>
      </c>
      <c r="M36" s="8">
        <f t="shared" ref="M36:M53" si="4">K36/J36</f>
        <v>0.10564977954901976</v>
      </c>
    </row>
    <row r="37" spans="7:13" x14ac:dyDescent="0.2">
      <c r="G37">
        <v>83</v>
      </c>
      <c r="H37">
        <f>SUM($G$4:G37)</f>
        <v>2306</v>
      </c>
      <c r="I37" s="1">
        <f>COUNT($G$4:G37)</f>
        <v>34</v>
      </c>
      <c r="J37" s="3">
        <f t="shared" si="1"/>
        <v>67.82352941176471</v>
      </c>
      <c r="K37" s="3">
        <f t="shared" ref="K37:K68" si="5">(K36 + (G37- J36) * (G37 - J37))/(I37 - 1)</f>
        <v>7.4067201868382764</v>
      </c>
      <c r="L37" s="3">
        <f t="shared" si="3"/>
        <v>7.1823362323104405</v>
      </c>
      <c r="M37" s="8">
        <f t="shared" si="4"/>
        <v>0.10920576164462333</v>
      </c>
    </row>
    <row r="38" spans="7:13" x14ac:dyDescent="0.2">
      <c r="G38">
        <v>84</v>
      </c>
      <c r="H38">
        <f>SUM($G$4:G38)</f>
        <v>2390</v>
      </c>
      <c r="I38" s="1">
        <f>COUNT($G$4:G38)</f>
        <v>35</v>
      </c>
      <c r="J38" s="3">
        <f t="shared" si="1"/>
        <v>68.285714285714292</v>
      </c>
      <c r="K38" s="3">
        <f t="shared" si="5"/>
        <v>7.6943647311502064</v>
      </c>
      <c r="L38" s="3">
        <f t="shared" si="3"/>
        <v>7.4681147687022627</v>
      </c>
      <c r="M38" s="8">
        <f t="shared" si="4"/>
        <v>0.11267898141851766</v>
      </c>
    </row>
    <row r="39" spans="7:13" x14ac:dyDescent="0.2">
      <c r="G39">
        <v>85</v>
      </c>
      <c r="H39">
        <f>SUM($G$4:G39)</f>
        <v>2475</v>
      </c>
      <c r="I39" s="1">
        <f>COUNT($G$4:G39)</f>
        <v>36</v>
      </c>
      <c r="J39" s="3">
        <f t="shared" si="1"/>
        <v>68.75</v>
      </c>
      <c r="K39" s="3">
        <f t="shared" si="5"/>
        <v>7.9800430739512276</v>
      </c>
      <c r="L39" s="3">
        <f t="shared" si="3"/>
        <v>7.7520904896068066</v>
      </c>
      <c r="M39" s="8">
        <f t="shared" si="4"/>
        <v>0.11607335380292695</v>
      </c>
    </row>
    <row r="40" spans="7:13" x14ac:dyDescent="0.2">
      <c r="G40">
        <v>86</v>
      </c>
      <c r="H40">
        <f>SUM($G$4:G40)</f>
        <v>2561</v>
      </c>
      <c r="I40" s="1">
        <f>COUNT($G$4:G40)</f>
        <v>37</v>
      </c>
      <c r="J40" s="3">
        <f t="shared" si="1"/>
        <v>69.21621621621621</v>
      </c>
      <c r="K40" s="3">
        <f t="shared" si="5"/>
        <v>8.2638975928950433</v>
      </c>
      <c r="L40" s="3">
        <f t="shared" si="3"/>
        <v>8.0343881286453289</v>
      </c>
      <c r="M40" s="8">
        <f t="shared" si="4"/>
        <v>0.1193925071991865</v>
      </c>
    </row>
    <row r="41" spans="7:13" x14ac:dyDescent="0.2">
      <c r="G41">
        <v>87</v>
      </c>
      <c r="H41">
        <f>SUM($G$4:G41)</f>
        <v>2648</v>
      </c>
      <c r="I41" s="1">
        <f>COUNT($G$4:G41)</f>
        <v>38</v>
      </c>
      <c r="J41" s="3">
        <f t="shared" si="1"/>
        <v>69.684210526315795</v>
      </c>
      <c r="K41" s="3">
        <f t="shared" si="5"/>
        <v>8.5460582064436288</v>
      </c>
      <c r="L41" s="3">
        <f t="shared" si="3"/>
        <v>8.3151222151095929</v>
      </c>
      <c r="M41" s="8">
        <f t="shared" si="4"/>
        <v>0.12263980809851129</v>
      </c>
    </row>
    <row r="42" spans="7:13" x14ac:dyDescent="0.2">
      <c r="G42">
        <v>88</v>
      </c>
      <c r="H42">
        <f>SUM($G$4:G42)</f>
        <v>2736</v>
      </c>
      <c r="I42" s="1">
        <f>COUNT($G$4:G42)</f>
        <v>39</v>
      </c>
      <c r="J42" s="3">
        <f t="shared" si="1"/>
        <v>70.15384615384616</v>
      </c>
      <c r="K42" s="3">
        <f t="shared" si="5"/>
        <v>8.826643551778341</v>
      </c>
      <c r="L42" s="3">
        <f t="shared" si="3"/>
        <v>8.5943979224677687</v>
      </c>
      <c r="M42" s="8">
        <f t="shared" si="4"/>
        <v>0.12581838396175266</v>
      </c>
    </row>
    <row r="43" spans="7:13" x14ac:dyDescent="0.2">
      <c r="G43">
        <v>89</v>
      </c>
      <c r="H43">
        <f>SUM($G$4:G43)</f>
        <v>2825</v>
      </c>
      <c r="I43" s="1">
        <f>COUNT($G$4:G43)</f>
        <v>40</v>
      </c>
      <c r="J43" s="3">
        <f t="shared" si="1"/>
        <v>70.625</v>
      </c>
      <c r="K43" s="3">
        <f t="shared" si="5"/>
        <v>9.1057620634578225</v>
      </c>
      <c r="L43" s="3">
        <f t="shared" si="3"/>
        <v>8.8723118711386135</v>
      </c>
      <c r="M43" s="8">
        <f t="shared" si="4"/>
        <v>0.12893114426134969</v>
      </c>
    </row>
    <row r="44" spans="7:13" x14ac:dyDescent="0.2">
      <c r="G44">
        <v>90</v>
      </c>
      <c r="H44">
        <f>SUM($G$4:G44)</f>
        <v>2915</v>
      </c>
      <c r="I44" s="1">
        <f>COUNT($G$4:G44)</f>
        <v>41</v>
      </c>
      <c r="J44" s="3">
        <f t="shared" si="1"/>
        <v>71.097560975609753</v>
      </c>
      <c r="K44" s="3">
        <f t="shared" si="5"/>
        <v>9.3835129540254716</v>
      </c>
      <c r="L44" s="3">
        <f t="shared" si="3"/>
        <v>9.1489528772853568</v>
      </c>
      <c r="M44" s="8">
        <f t="shared" si="4"/>
        <v>0.13198079969641316</v>
      </c>
    </row>
    <row r="45" spans="7:13" x14ac:dyDescent="0.2">
      <c r="G45">
        <v>91</v>
      </c>
      <c r="H45">
        <f>SUM($G$4:G45)</f>
        <v>3006</v>
      </c>
      <c r="I45" s="1">
        <f>COUNT($G$4:G45)</f>
        <v>42</v>
      </c>
      <c r="J45" s="3">
        <f t="shared" si="1"/>
        <v>71.571428571428569</v>
      </c>
      <c r="K45" s="3">
        <f t="shared" si="5"/>
        <v>9.6599871010287544</v>
      </c>
      <c r="L45" s="3">
        <f t="shared" si="3"/>
        <v>9.424402644415208</v>
      </c>
      <c r="M45" s="8">
        <f t="shared" si="4"/>
        <v>0.13496987965509238</v>
      </c>
    </row>
    <row r="46" spans="7:13" x14ac:dyDescent="0.2">
      <c r="G46">
        <v>92</v>
      </c>
      <c r="H46">
        <f>SUM($G$4:G46)</f>
        <v>3098</v>
      </c>
      <c r="I46" s="1">
        <f>COUNT($G$4:G46)</f>
        <v>43</v>
      </c>
      <c r="J46" s="3">
        <f t="shared" si="1"/>
        <v>72.04651162790698</v>
      </c>
      <c r="K46" s="3">
        <f t="shared" si="5"/>
        <v>9.9352678466547744</v>
      </c>
      <c r="L46" s="3">
        <f t="shared" si="3"/>
        <v>9.6987363977415555</v>
      </c>
      <c r="M46" s="8">
        <f t="shared" si="4"/>
        <v>0.13790074803297458</v>
      </c>
    </row>
    <row r="47" spans="7:13" x14ac:dyDescent="0.2">
      <c r="G47">
        <v>93</v>
      </c>
      <c r="H47">
        <f>SUM($G$4:G47)</f>
        <v>3191</v>
      </c>
      <c r="I47" s="1">
        <f>COUNT($G$4:G47)</f>
        <v>44</v>
      </c>
      <c r="J47" s="3">
        <f t="shared" si="1"/>
        <v>72.522727272727266</v>
      </c>
      <c r="K47" s="3">
        <f t="shared" si="5"/>
        <v>10.209431716970732</v>
      </c>
      <c r="L47" s="3">
        <f t="shared" si="3"/>
        <v>9.9720234632006441</v>
      </c>
      <c r="M47" s="8">
        <f t="shared" si="4"/>
        <v>0.14077561753265819</v>
      </c>
    </row>
    <row r="48" spans="7:13" x14ac:dyDescent="0.2">
      <c r="G48">
        <v>94</v>
      </c>
      <c r="H48">
        <f>SUM($G$4:G48)</f>
        <v>3285</v>
      </c>
      <c r="I48" s="1">
        <f>COUNT($G$4:G48)</f>
        <v>45</v>
      </c>
      <c r="J48" s="3">
        <f t="shared" si="1"/>
        <v>73</v>
      </c>
      <c r="K48" s="3">
        <f t="shared" si="5"/>
        <v>10.482549067947685</v>
      </c>
      <c r="L48" s="3">
        <f t="shared" si="3"/>
        <v>10.244327794131735</v>
      </c>
      <c r="M48" s="8">
        <f t="shared" si="4"/>
        <v>0.14359656257462583</v>
      </c>
    </row>
    <row r="49" spans="7:13" x14ac:dyDescent="0.2">
      <c r="G49">
        <v>95</v>
      </c>
      <c r="H49">
        <f>SUM($G$4:G49)</f>
        <v>3380</v>
      </c>
      <c r="I49" s="1">
        <f>COUNT($G$4:G49)</f>
        <v>46</v>
      </c>
      <c r="J49" s="3">
        <f t="shared" si="1"/>
        <v>73.478260869565219</v>
      </c>
      <c r="K49" s="3">
        <f t="shared" si="5"/>
        <v>10.754684665278063</v>
      </c>
      <c r="L49" s="3">
        <f t="shared" si="3"/>
        <v>10.515708449210802</v>
      </c>
      <c r="M49" s="8">
        <f t="shared" si="4"/>
        <v>0.14636553094757127</v>
      </c>
    </row>
    <row r="50" spans="7:13" x14ac:dyDescent="0.2">
      <c r="G50">
        <v>96</v>
      </c>
      <c r="H50">
        <f>SUM($G$4:G50)</f>
        <v>3476</v>
      </c>
      <c r="I50" s="1">
        <f>COUNT($G$4:G50)</f>
        <v>47</v>
      </c>
      <c r="J50" s="3">
        <f t="shared" si="1"/>
        <v>73.957446808510639</v>
      </c>
      <c r="K50" s="3">
        <f t="shared" si="5"/>
        <v>11.025898204624653</v>
      </c>
      <c r="L50" s="3">
        <f t="shared" si="3"/>
        <v>10.786220025460997</v>
      </c>
      <c r="M50" s="8">
        <f t="shared" si="4"/>
        <v>0.14908435432029882</v>
      </c>
    </row>
    <row r="51" spans="7:13" x14ac:dyDescent="0.2">
      <c r="G51">
        <v>97</v>
      </c>
      <c r="H51">
        <f>SUM($G$4:G51)</f>
        <v>3573</v>
      </c>
      <c r="I51" s="1">
        <f>COUNT($G$4:G51)</f>
        <v>48</v>
      </c>
      <c r="J51" s="3">
        <f t="shared" si="1"/>
        <v>74.4375</v>
      </c>
      <c r="K51" s="3">
        <f t="shared" si="5"/>
        <v>11.296244778459647</v>
      </c>
      <c r="L51" s="3">
        <f t="shared" si="3"/>
        <v>11.055913050175826</v>
      </c>
      <c r="M51" s="8">
        <f t="shared" si="4"/>
        <v>0.15175475772909686</v>
      </c>
    </row>
    <row r="52" spans="7:13" x14ac:dyDescent="0.2">
      <c r="G52">
        <v>98</v>
      </c>
      <c r="H52">
        <f>SUM($G$4:G52)</f>
        <v>3671</v>
      </c>
      <c r="I52" s="1">
        <f>COUNT($G$4:G52)</f>
        <v>49</v>
      </c>
      <c r="J52" s="3">
        <f t="shared" si="1"/>
        <v>74.91836734693878</v>
      </c>
      <c r="K52" s="3">
        <f t="shared" si="5"/>
        <v>11.56577529512947</v>
      </c>
      <c r="L52" s="3">
        <f t="shared" si="3"/>
        <v>11.324834335467974</v>
      </c>
      <c r="M52" s="8">
        <f t="shared" si="4"/>
        <v>0.15437836814528574</v>
      </c>
    </row>
    <row r="53" spans="7:13" x14ac:dyDescent="0.2">
      <c r="G53">
        <v>99</v>
      </c>
      <c r="H53">
        <f>SUM($G$4:G53)</f>
        <v>3770</v>
      </c>
      <c r="I53" s="1">
        <f>COUNT($G$4:G53)</f>
        <v>50</v>
      </c>
      <c r="J53" s="3">
        <f t="shared" si="1"/>
        <v>75.400000000000006</v>
      </c>
      <c r="K53" s="3">
        <f t="shared" si="5"/>
        <v>11.834536855252534</v>
      </c>
      <c r="L53" s="3">
        <f t="shared" si="3"/>
        <v>11.593027298954253</v>
      </c>
      <c r="M53" s="8">
        <f t="shared" si="4"/>
        <v>0.15695672221820337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H</dc:creator>
  <cp:lastModifiedBy>Y H</cp:lastModifiedBy>
  <dcterms:created xsi:type="dcterms:W3CDTF">2026-01-16T07:12:38Z</dcterms:created>
  <dcterms:modified xsi:type="dcterms:W3CDTF">2026-01-17T08:42:45Z</dcterms:modified>
</cp:coreProperties>
</file>